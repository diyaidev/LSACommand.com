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report" sheetId="1" state="visible" r:id="rId1"/>
    <sheet xmlns:r="http://schemas.openxmlformats.org/officeDocument/2006/relationships" name="Sample (illustrative)" sheetId="2" state="visible" r:id="rId2"/>
    <sheet xmlns:r="http://schemas.openxmlformats.org/officeDocument/2006/relationships" name="Roster" sheetId="3" state="visible" r:id="rId3"/>
    <sheet xmlns:r="http://schemas.openxmlformats.org/officeDocument/2006/relationships" name="PMax notes + sources" sheetId="4" state="visible" r:id="rId4"/>
  </sheets>
  <definedNames/>
  <calcPr calcId="124519" fullCalcOnLoad="1"/>
</workbook>
</file>

<file path=xl/styles.xml><?xml version="1.0" encoding="utf-8"?>
<styleSheet xmlns="http://schemas.openxmlformats.org/spreadsheetml/2006/main">
  <numFmts count="1">
    <numFmt numFmtId="164" formatCode="&quot;$&quot;#,##0.00"/>
  </numFmts>
  <fonts count="8">
    <font>
      <name val="Calibri"/>
      <family val="2"/>
      <color theme="1"/>
      <sz val="11"/>
      <scheme val="minor"/>
    </font>
    <font>
      <b val="1"/>
      <color rgb="00052536"/>
      <sz val="14"/>
    </font>
    <font>
      <b val="1"/>
      <color rgb="00FFFFFF"/>
    </font>
    <font>
      <b val="1"/>
      <color rgb="00052536"/>
    </font>
    <font>
      <i val="1"/>
      <color rgb="00007B8D"/>
    </font>
    <font/>
    <font>
      <b val="1"/>
    </font>
    <font>
      <b val="1"/>
      <color rgb="00052536"/>
      <sz val="13"/>
    </font>
  </fonts>
  <fills count="5">
    <fill>
      <patternFill/>
    </fill>
    <fill>
      <patternFill patternType="gray125"/>
    </fill>
    <fill>
      <patternFill patternType="solid">
        <fgColor rgb="00052536"/>
      </patternFill>
    </fill>
    <fill>
      <patternFill patternType="solid">
        <fgColor rgb="00E5F7FB"/>
      </patternFill>
    </fill>
    <fill>
      <patternFill patternType="solid">
        <fgColor rgb="00FFF3CD"/>
      </patternFill>
    </fill>
  </fills>
  <borders count="2">
    <border>
      <left/>
      <right/>
      <top/>
      <bottom/>
      <diagonal/>
    </border>
    <border>
      <left style="thin">
        <color rgb="00D9E7ED"/>
      </left>
      <right style="thin">
        <color rgb="00D9E7ED"/>
      </right>
      <top style="thin">
        <color rgb="00D9E7ED"/>
      </top>
      <bottom style="thin">
        <color rgb="00D9E7ED"/>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pivotButton="0" quotePrefix="0" xfId="0"/>
    <xf numFmtId="0" fontId="3" fillId="3" borderId="1" pivotButton="0" quotePrefix="0" xfId="0"/>
    <xf numFmtId="0" fontId="4" fillId="3" borderId="1" pivotButton="0" quotePrefix="0" xfId="0"/>
    <xf numFmtId="0" fontId="0" fillId="3" borderId="1"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3" fillId="0" borderId="0" pivotButton="0" quotePrefix="0" xfId="0"/>
    <xf numFmtId="0" fontId="2" fillId="2" borderId="0" pivotButton="0" quotePrefix="0" xfId="0"/>
    <xf numFmtId="0" fontId="0" fillId="0" borderId="1" pivotButton="0" quotePrefix="0" xfId="0"/>
    <xf numFmtId="0" fontId="0" fillId="4" borderId="0" pivotButton="0" quotePrefix="0" xfId="0"/>
    <xf numFmtId="0" fontId="2" fillId="2" borderId="0" applyAlignment="1" pivotButton="0" quotePrefix="0" xfId="0">
      <alignment vertical="bottom" wrapText="1"/>
    </xf>
    <xf numFmtId="164" fontId="0" fillId="4" borderId="0" pivotButton="0" quotePrefix="0" xfId="0"/>
    <xf numFmtId="9" fontId="0" fillId="4" borderId="0" pivotButton="0" quotePrefix="0" xfId="0"/>
    <xf numFmtId="164" fontId="0" fillId="0" borderId="0" pivotButton="0" quotePrefix="0" xfId="0"/>
    <xf numFmtId="9" fontId="0" fillId="0" borderId="0" pivotButton="0" quotePrefix="0" xfId="0"/>
    <xf numFmtId="0" fontId="0" fillId="0" borderId="0" applyAlignment="1" pivotButton="0" quotePrefix="0" xfId="0">
      <alignment vertical="top" wrapText="1"/>
    </xf>
    <xf numFmtId="0" fontId="7"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pane ySplit="5" topLeftCell="A6" activePane="bottomLeft" state="frozen"/>
      <selection pane="bottomLeft" activeCell="A1" sqref="A1"/>
    </sheetView>
  </sheetViews>
  <sheetFormatPr baseColWidth="8" defaultRowHeight="15"/>
  <cols>
    <col width="40" customWidth="1" min="1" max="1"/>
    <col width="44" customWidth="1" min="2" max="2"/>
    <col width="18" customWidth="1" min="3" max="3"/>
    <col width="20" customWidth="1" min="4" max="4"/>
    <col width="46" customWidth="1" min="5" max="5"/>
  </cols>
  <sheetData>
    <row r="1">
      <c r="A1" s="1" t="inlineStr">
        <is>
          <t>Monthly LSA report</t>
        </is>
      </c>
    </row>
    <row r="2">
      <c r="A2" t="inlineStr">
        <is>
          <t>Client: ________    Month: ________    Sent: ________    Status: Provisional / Final (____ in review)</t>
        </is>
      </c>
    </row>
    <row r="3">
      <c r="A3" t="inlineStr">
        <is>
          <t>Migrated to Performance Max on: ________    Baseline: our archive / starting now</t>
        </is>
      </c>
    </row>
    <row r="5">
      <c r="A5" s="2" t="inlineStr">
        <is>
          <t>Metric</t>
        </is>
      </c>
      <c r="B5" s="2" t="inlineStr">
        <is>
          <t>Where it lives</t>
        </is>
      </c>
      <c r="C5" s="2" t="inlineStr">
        <is>
          <t>This month</t>
        </is>
      </c>
      <c r="D5" s="2" t="inlineStr">
        <is>
          <t>Last month (restated)</t>
        </is>
      </c>
      <c r="E5" s="2" t="inlineStr">
        <is>
          <t>Notes</t>
        </is>
      </c>
    </row>
    <row r="6">
      <c r="A6" s="3" t="inlineStr">
        <is>
          <t>01  Leads received</t>
        </is>
      </c>
      <c r="B6" s="4" t="inlineStr">
        <is>
          <t>Goals › Conversions › Leads · Lead Type column</t>
        </is>
      </c>
      <c r="C6" s="5" t="n"/>
      <c r="D6" s="5" t="n"/>
      <c r="E6" s="5" t="n"/>
    </row>
    <row r="7">
      <c r="A7" s="6" t="inlineStr">
        <is>
          <t>Phone call leads</t>
        </is>
      </c>
      <c r="B7" s="7" t="n"/>
      <c r="C7" s="7" t="n"/>
      <c r="D7" s="7" t="n"/>
      <c r="E7" s="7" t="inlineStr"/>
    </row>
    <row r="8">
      <c r="A8" s="6" t="inlineStr">
        <is>
          <t>Message leads</t>
        </is>
      </c>
      <c r="B8" s="7" t="n"/>
      <c r="C8" s="7" t="n"/>
      <c r="D8" s="7" t="n"/>
      <c r="E8" s="7" t="inlineStr"/>
    </row>
    <row r="9">
      <c r="A9" s="6" t="inlineStr">
        <is>
          <t>Booking leads</t>
        </is>
      </c>
      <c r="B9" s="7" t="n"/>
      <c r="C9" s="7" t="n"/>
      <c r="D9" s="7" t="n"/>
      <c r="E9" s="7" t="inlineStr"/>
    </row>
    <row r="10">
      <c r="A10" s="8" t="inlineStr">
        <is>
          <t>Total leads received</t>
        </is>
      </c>
      <c r="B10" s="7" t="n"/>
      <c r="C10" s="7">
        <f>SUM(C7:C9)</f>
        <v/>
      </c>
      <c r="D10" s="7">
        <f>SUM(D7:D9)</f>
        <v/>
      </c>
      <c r="E10" s="7" t="inlineStr">
        <is>
          <t>calculated</t>
        </is>
      </c>
    </row>
    <row r="11">
      <c r="A11" s="3" t="inlineStr">
        <is>
          <t>02  Charged vs. credited</t>
        </is>
      </c>
      <c r="B11" s="4" t="inlineStr">
        <is>
          <t>Leads page · Charge Status column</t>
        </is>
      </c>
      <c r="C11" s="5" t="n"/>
      <c r="D11" s="5" t="n"/>
      <c r="E11" s="5" t="n"/>
    </row>
    <row r="12">
      <c r="A12" s="6" t="inlineStr">
        <is>
          <t>Charged</t>
        </is>
      </c>
      <c r="B12" s="7" t="n"/>
      <c r="C12" s="7" t="n"/>
      <c r="D12" s="7" t="n"/>
      <c r="E12" s="7" t="inlineStr"/>
    </row>
    <row r="13">
      <c r="A13" s="6" t="inlineStr">
        <is>
          <t>Credited</t>
        </is>
      </c>
      <c r="B13" s="7" t="n"/>
      <c r="C13" s="7" t="n"/>
      <c r="D13" s="7" t="n"/>
      <c r="E13" s="7" t="inlineStr"/>
    </row>
    <row r="14">
      <c r="A14" s="6" t="inlineStr">
        <is>
          <t>In review</t>
        </is>
      </c>
      <c r="B14" s="7" t="n"/>
      <c r="C14" s="7" t="n"/>
      <c r="D14" s="7" t="n"/>
      <c r="E14" s="7" t="inlineStr"/>
    </row>
    <row r="15">
      <c r="A15" s="6" t="inlineStr">
        <is>
          <t>Not charged</t>
        </is>
      </c>
      <c r="B15" s="7" t="n"/>
      <c r="C15" s="7" t="n"/>
      <c r="D15" s="7" t="n"/>
      <c r="E15" s="7" t="inlineStr"/>
    </row>
    <row r="16">
      <c r="A16" s="8" t="inlineStr">
        <is>
          <t>Not charged so far</t>
        </is>
      </c>
      <c r="B16" s="7" t="n"/>
      <c r="C16" s="7">
        <f>C13+C14+C15</f>
        <v/>
      </c>
      <c r="D16" s="7">
        <f>D13+D14+D15</f>
        <v/>
      </c>
      <c r="E16" s="7" t="inlineStr">
        <is>
          <t>calculated</t>
        </is>
      </c>
    </row>
    <row r="17">
      <c r="A17" s="3" t="inlineStr">
        <is>
          <t>03  Spend and cost per lead</t>
        </is>
      </c>
      <c r="B17" s="4" t="inlineStr">
        <is>
          <t>Campaigns page · Cost, Conversions, Cost / conv.</t>
        </is>
      </c>
      <c r="C17" s="5" t="n"/>
      <c r="D17" s="5" t="n"/>
      <c r="E17" s="5" t="n"/>
    </row>
    <row r="18">
      <c r="A18" s="6" t="inlineStr">
        <is>
          <t>Spend</t>
        </is>
      </c>
      <c r="B18" s="7" t="n"/>
      <c r="C18" s="9" t="n"/>
      <c r="D18" s="9" t="n"/>
      <c r="E18" s="7" t="inlineStr"/>
    </row>
    <row r="19">
      <c r="A19" s="6" t="inlineStr">
        <is>
          <t>Cost per charged lead</t>
        </is>
      </c>
      <c r="B19" s="7" t="n"/>
      <c r="C19" s="9">
        <f>IFERROR(C18/C12,"")</f>
        <v/>
      </c>
      <c r="D19" s="9">
        <f>IFERROR(D18/D12,"")</f>
        <v/>
      </c>
      <c r="E19" s="7" t="inlineStr">
        <is>
          <t>calculated</t>
        </is>
      </c>
    </row>
    <row r="20">
      <c r="A20" s="6" t="inlineStr">
        <is>
          <t>Cost per lead received</t>
        </is>
      </c>
      <c r="B20" s="7" t="n"/>
      <c r="C20" s="9">
        <f>IFERROR(C18/C10,"")</f>
        <v/>
      </c>
      <c r="D20" s="9">
        <f>IFERROR(D18/D10,"")</f>
        <v/>
      </c>
      <c r="E20" s="7" t="inlineStr">
        <is>
          <t>calculated</t>
        </is>
      </c>
    </row>
    <row r="21">
      <c r="A21" s="3" t="inlineStr">
        <is>
          <t>04  What the leads asked for</t>
        </is>
      </c>
      <c r="B21" s="4" t="inlineStr">
        <is>
          <t>Leads page · Service Type column</t>
        </is>
      </c>
      <c r="C21" s="5" t="n"/>
      <c r="D21" s="5" t="n"/>
      <c r="E21" s="5" t="n"/>
    </row>
    <row r="22">
      <c r="A22" s="6" t="inlineStr">
        <is>
          <t>Job type: ________</t>
        </is>
      </c>
      <c r="B22" s="7" t="n"/>
      <c r="C22" s="7" t="n"/>
      <c r="D22" s="7" t="n"/>
      <c r="E22" s="7" t="inlineStr"/>
    </row>
    <row r="23">
      <c r="A23" s="6" t="inlineStr">
        <is>
          <t>Job type: ________</t>
        </is>
      </c>
      <c r="B23" s="7" t="n"/>
      <c r="C23" s="7" t="n"/>
      <c r="D23" s="7" t="n"/>
      <c r="E23" s="7" t="inlineStr"/>
    </row>
    <row r="24">
      <c r="A24" s="6" t="inlineStr">
        <is>
          <t>Job type: ________</t>
        </is>
      </c>
      <c r="B24" s="7" t="n"/>
      <c r="C24" s="7" t="n"/>
      <c r="D24" s="7" t="n"/>
      <c r="E24" s="7" t="inlineStr"/>
    </row>
    <row r="25">
      <c r="A25" s="6" t="inlineStr">
        <is>
          <t>Job type: ________</t>
        </is>
      </c>
      <c r="B25" s="7" t="n"/>
      <c r="C25" s="7" t="n"/>
      <c r="D25" s="7" t="n"/>
      <c r="E25" s="7" t="inlineStr"/>
    </row>
    <row r="26">
      <c r="A26" s="6" t="inlineStr">
        <is>
          <t>General category search (shown with an X)</t>
        </is>
      </c>
      <c r="B26" s="7" t="n"/>
      <c r="C26" s="7" t="n"/>
      <c r="D26" s="7" t="n"/>
      <c r="E26" s="7" t="inlineStr"/>
    </row>
    <row r="27">
      <c r="A27" s="3" t="inlineStr">
        <is>
          <t>05  Booked jobs</t>
        </is>
      </c>
      <c r="B27" s="4" t="inlineStr">
        <is>
          <t>Lead status (Booked / Completed) + the client’s job list</t>
        </is>
      </c>
      <c r="C27" s="5" t="n"/>
      <c r="D27" s="5" t="n"/>
      <c r="E27" s="5" t="n"/>
    </row>
    <row r="28">
      <c r="A28" s="6" t="inlineStr">
        <is>
          <t>Leads marked Booked or Completed</t>
        </is>
      </c>
      <c r="B28" s="7" t="n"/>
      <c r="C28" s="7" t="n"/>
      <c r="D28" s="7" t="n"/>
      <c r="E28" s="7" t="inlineStr"/>
    </row>
    <row r="29">
      <c r="A29" s="6" t="inlineStr">
        <is>
          <t>Booking rate</t>
        </is>
      </c>
      <c r="B29" s="7" t="n"/>
      <c r="C29" s="10">
        <f>IFERROR(C28/C10,"")</f>
        <v/>
      </c>
      <c r="D29" s="10">
        <f>IFERROR(D28/D10,"")</f>
        <v/>
      </c>
      <c r="E29" s="7" t="inlineStr">
        <is>
          <t>calculated</t>
        </is>
      </c>
    </row>
    <row r="30">
      <c r="A30" s="8" t="inlineStr">
        <is>
          <t>Cost per booked job</t>
        </is>
      </c>
      <c r="B30" s="7" t="n"/>
      <c r="C30" s="9">
        <f>IFERROR(C18/C28,"")</f>
        <v/>
      </c>
      <c r="D30" s="9">
        <f>IFERROR(D18/D28,"")</f>
        <v/>
      </c>
      <c r="E30" s="7" t="inlineStr">
        <is>
          <t>calculated</t>
        </is>
      </c>
    </row>
    <row r="31">
      <c r="A31" s="3" t="inlineStr">
        <is>
          <t>06  Calls answered</t>
        </is>
      </c>
      <c r="B31" s="4" t="inlineStr">
        <is>
          <t>The client’s phone system, answering service or call recordings</t>
        </is>
      </c>
      <c r="C31" s="5" t="n"/>
      <c r="D31" s="5" t="n"/>
      <c r="E31" s="5" t="n"/>
    </row>
    <row r="32">
      <c r="A32" s="6" t="inlineStr">
        <is>
          <t>Call leads</t>
        </is>
      </c>
      <c r="B32" s="7" t="n"/>
      <c r="C32" s="7" t="n"/>
      <c r="D32" s="7" t="n"/>
      <c r="E32" s="7" t="inlineStr"/>
    </row>
    <row r="33">
      <c r="A33" s="6" t="inlineStr">
        <is>
          <t>Reached a person</t>
        </is>
      </c>
      <c r="B33" s="7" t="n"/>
      <c r="C33" s="7" t="n"/>
      <c r="D33" s="7" t="n"/>
      <c r="E33" s="7" t="inlineStr"/>
    </row>
    <row r="34">
      <c r="A34" s="6" t="inlineStr">
        <is>
          <t>Missed (voicemail, no answer)</t>
        </is>
      </c>
      <c r="B34" s="7" t="n"/>
      <c r="C34" s="7" t="n"/>
      <c r="D34" s="7" t="n"/>
      <c r="E34" s="7" t="inlineStr"/>
    </row>
    <row r="35">
      <c r="A35" s="8" t="inlineStr">
        <is>
          <t>Answer rate</t>
        </is>
      </c>
      <c r="B35" s="7" t="n"/>
      <c r="C35" s="10">
        <f>IFERROR(C33/C32,"")</f>
        <v/>
      </c>
      <c r="D35" s="10">
        <f>IFERROR(D33/D32,"")</f>
        <v/>
      </c>
      <c r="E35" s="7" t="inlineStr">
        <is>
          <t>calculated</t>
        </is>
      </c>
    </row>
    <row r="36">
      <c r="A36" s="3" t="inlineStr">
        <is>
          <t>07  Rating and reviews</t>
        </is>
      </c>
      <c r="B36" s="4" t="inlineStr">
        <is>
          <t>Google Business Profile (start vs. end of month)</t>
        </is>
      </c>
      <c r="C36" s="5" t="n"/>
      <c r="D36" s="5" t="n"/>
      <c r="E36" s="5" t="n"/>
    </row>
    <row r="37">
      <c r="A37" s="6" t="inlineStr">
        <is>
          <t>Star rating</t>
        </is>
      </c>
      <c r="B37" s="7" t="n"/>
      <c r="C37" s="7" t="n"/>
      <c r="D37" s="7" t="n"/>
      <c r="E37" s="7" t="inlineStr"/>
    </row>
    <row r="38">
      <c r="A38" s="6" t="inlineStr">
        <is>
          <t>Review count</t>
        </is>
      </c>
      <c r="B38" s="7" t="n"/>
      <c r="C38" s="7" t="n"/>
      <c r="D38" s="7" t="n"/>
      <c r="E38" s="7" t="inlineStr"/>
    </row>
    <row r="39">
      <c r="A39" s="3" t="inlineStr">
        <is>
          <t>08  Budget pacing</t>
        </is>
      </c>
      <c r="B39" s="4" t="inlineStr">
        <is>
          <t>Campaign budget (daily average) vs. Cost for the month</t>
        </is>
      </c>
      <c r="C39" s="5" t="n"/>
      <c r="D39" s="5" t="n"/>
      <c r="E39" s="5" t="n"/>
    </row>
    <row r="40">
      <c r="A40" s="6" t="inlineStr">
        <is>
          <t>Average daily budget</t>
        </is>
      </c>
      <c r="B40" s="7" t="n"/>
      <c r="C40" s="9" t="n"/>
      <c r="D40" s="9" t="n"/>
      <c r="E40" s="7" t="inlineStr"/>
    </row>
    <row r="41">
      <c r="A41" s="6" t="inlineStr">
        <is>
          <t>Monthly cap (daily × 30.4)</t>
        </is>
      </c>
      <c r="B41" s="7" t="n"/>
      <c r="C41" s="9">
        <f>IF(C40="","",C40*30.4)</f>
        <v/>
      </c>
      <c r="D41" s="9">
        <f>IF(D40="","",D40*30.4)</f>
        <v/>
      </c>
      <c r="E41" s="7" t="inlineStr">
        <is>
          <t>calculated</t>
        </is>
      </c>
    </row>
    <row r="42">
      <c r="A42" s="6" t="inlineStr">
        <is>
          <t>Spent / % of cap</t>
        </is>
      </c>
      <c r="B42" s="7" t="n"/>
      <c r="C42" s="10">
        <f>IFERROR(C18/C41,"")</f>
        <v/>
      </c>
      <c r="D42" s="10">
        <f>IFERROR(D18/D41,"")</f>
        <v/>
      </c>
      <c r="E42" s="7" t="inlineStr">
        <is>
          <t>calculated</t>
        </is>
      </c>
    </row>
    <row r="44">
      <c r="A44" s="11" t="inlineStr">
        <is>
          <t>09  This month in one sentence</t>
        </is>
      </c>
      <c r="B44" t="inlineStr"/>
    </row>
    <row r="46">
      <c r="A46" s="11" t="inlineStr">
        <is>
          <t>10  Next month's actions</t>
        </is>
      </c>
      <c r="B46" s="12" t="inlineStr">
        <is>
          <t>Action</t>
        </is>
      </c>
      <c r="C46" s="12" t="inlineStr">
        <is>
          <t>Owner</t>
        </is>
      </c>
      <c r="D46" s="12" t="inlineStr">
        <is>
          <t>By</t>
        </is>
      </c>
    </row>
    <row r="47">
      <c r="B47" s="13" t="inlineStr"/>
      <c r="C47" s="13" t="inlineStr"/>
      <c r="D47" s="13" t="inlineStr"/>
    </row>
    <row r="48">
      <c r="B48" s="13" t="inlineStr"/>
      <c r="C48" s="13" t="inlineStr"/>
      <c r="D48" s="13" t="inlineStr"/>
    </row>
    <row r="49">
      <c r="B49" s="13" t="inlineStr"/>
      <c r="C49" s="13" t="inlineStr"/>
      <c r="D49" s="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pane ySplit="5" topLeftCell="A6" activePane="bottomLeft" state="frozen"/>
      <selection pane="bottomLeft" activeCell="A1" sqref="A1"/>
    </sheetView>
  </sheetViews>
  <sheetFormatPr baseColWidth="8" defaultRowHeight="15"/>
  <cols>
    <col width="40" customWidth="1" min="1" max="1"/>
    <col width="44" customWidth="1" min="2" max="2"/>
    <col width="18" customWidth="1" min="3" max="3"/>
    <col width="20" customWidth="1" min="4" max="4"/>
    <col width="46" customWidth="1" min="5" max="5"/>
  </cols>
  <sheetData>
    <row r="1">
      <c r="A1" s="1" t="inlineStr">
        <is>
          <t>Monthly LSA report - SAMPLE DATA (fictional business, illustrative only)</t>
        </is>
      </c>
    </row>
    <row r="2">
      <c r="A2" s="14" t="inlineStr">
        <is>
          <t>Sample Plumbing Co. (fictional) · October 2026</t>
        </is>
      </c>
    </row>
    <row r="3">
      <c r="A3" t="inlineStr">
        <is>
          <t>Migrated to Performance Max on Sep 15, 2026. Year-over-year figures come from our archive, because Google’s old LSA reports didn’t carry over.</t>
        </is>
      </c>
    </row>
    <row r="5">
      <c r="A5" s="2" t="inlineStr">
        <is>
          <t>Metric</t>
        </is>
      </c>
      <c r="B5" s="2" t="inlineStr">
        <is>
          <t>Where it lives</t>
        </is>
      </c>
      <c r="C5" s="2" t="inlineStr">
        <is>
          <t>This month</t>
        </is>
      </c>
      <c r="D5" s="2" t="inlineStr">
        <is>
          <t>Last month (restated)</t>
        </is>
      </c>
      <c r="E5" s="2" t="inlineStr">
        <is>
          <t>Notes</t>
        </is>
      </c>
    </row>
    <row r="6">
      <c r="A6" s="3" t="inlineStr">
        <is>
          <t>01  Leads received</t>
        </is>
      </c>
      <c r="B6" s="4" t="inlineStr">
        <is>
          <t>Goals › Conversions › Leads · Lead Type column</t>
        </is>
      </c>
      <c r="C6" s="5" t="n"/>
      <c r="D6" s="5" t="n"/>
      <c r="E6" s="5" t="n"/>
    </row>
    <row r="7">
      <c r="A7" s="6" t="inlineStr">
        <is>
          <t>Phone call leads</t>
        </is>
      </c>
      <c r="B7" s="7" t="n"/>
      <c r="C7" s="7" t="inlineStr">
        <is>
          <t>22</t>
        </is>
      </c>
      <c r="D7" s="7" t="n"/>
      <c r="E7" s="7" t="inlineStr"/>
    </row>
    <row r="8">
      <c r="A8" s="6" t="inlineStr">
        <is>
          <t>Message leads</t>
        </is>
      </c>
      <c r="B8" s="7" t="n"/>
      <c r="C8" s="7" t="inlineStr">
        <is>
          <t>8</t>
        </is>
      </c>
      <c r="D8" s="7" t="n"/>
      <c r="E8" s="7" t="inlineStr"/>
    </row>
    <row r="9">
      <c r="A9" s="6" t="inlineStr">
        <is>
          <t>Booking leads</t>
        </is>
      </c>
      <c r="B9" s="7" t="n"/>
      <c r="C9" s="7" t="inlineStr">
        <is>
          <t>1</t>
        </is>
      </c>
      <c r="D9" s="7" t="n"/>
      <c r="E9" s="7" t="inlineStr"/>
    </row>
    <row r="10">
      <c r="A10" s="8" t="inlineStr">
        <is>
          <t>Total leads received</t>
        </is>
      </c>
      <c r="B10" s="7" t="n"/>
      <c r="C10" s="7" t="inlineStr">
        <is>
          <t>31</t>
        </is>
      </c>
      <c r="D10" s="7" t="n"/>
      <c r="E10" s="7" t="inlineStr">
        <is>
          <t>Matches the lead alerts the client saw</t>
        </is>
      </c>
    </row>
    <row r="11">
      <c r="A11" s="3" t="inlineStr">
        <is>
          <t>02  Charged vs. credited</t>
        </is>
      </c>
      <c r="B11" s="4" t="inlineStr">
        <is>
          <t>Leads page · Charge Status column</t>
        </is>
      </c>
      <c r="C11" s="5" t="n"/>
      <c r="D11" s="5" t="n"/>
      <c r="E11" s="5" t="n"/>
    </row>
    <row r="12">
      <c r="A12" s="6" t="inlineStr">
        <is>
          <t>Charged</t>
        </is>
      </c>
      <c r="B12" s="7" t="n"/>
      <c r="C12" s="7" t="inlineStr">
        <is>
          <t>24</t>
        </is>
      </c>
      <c r="D12" s="7" t="n"/>
      <c r="E12" s="7">
        <f> Conversions on the Campaigns page</f>
        <v/>
      </c>
    </row>
    <row r="13">
      <c r="A13" s="6" t="inlineStr">
        <is>
          <t>Credited</t>
        </is>
      </c>
      <c r="B13" s="7" t="n"/>
      <c r="C13" s="7" t="inlineStr">
        <is>
          <t>4</t>
        </is>
      </c>
      <c r="D13" s="7" t="n"/>
      <c r="E13" s="7" t="inlineStr">
        <is>
          <t>Google credited these back</t>
        </is>
      </c>
    </row>
    <row r="14">
      <c r="A14" s="6" t="inlineStr">
        <is>
          <t>In review</t>
        </is>
      </c>
      <c r="B14" s="7" t="n"/>
      <c r="C14" s="7" t="inlineStr">
        <is>
          <t>2</t>
        </is>
      </c>
      <c r="D14" s="7" t="n"/>
      <c r="E14" s="7" t="inlineStr">
        <is>
          <t>Can still change: see the status line</t>
        </is>
      </c>
    </row>
    <row r="15">
      <c r="A15" s="6" t="inlineStr">
        <is>
          <t>Not charged</t>
        </is>
      </c>
      <c r="B15" s="7" t="n"/>
      <c r="C15" s="7" t="inlineStr">
        <is>
          <t>1</t>
        </is>
      </c>
      <c r="D15" s="7" t="n"/>
      <c r="E15" s="7" t="inlineStr"/>
    </row>
    <row r="16">
      <c r="A16" s="8" t="inlineStr">
        <is>
          <t>Not charged so far</t>
        </is>
      </c>
      <c r="B16" s="7" t="n"/>
      <c r="C16" s="7" t="inlineStr">
        <is>
          <t>7</t>
        </is>
      </c>
      <c r="D16" s="7" t="n"/>
      <c r="E16" s="7" t="inlineStr">
        <is>
          <t>Credited + in review + not charged. In-review leads can still be charged</t>
        </is>
      </c>
    </row>
    <row r="17">
      <c r="A17" s="3" t="inlineStr">
        <is>
          <t>03  Spend and cost per lead</t>
        </is>
      </c>
      <c r="B17" s="4" t="inlineStr">
        <is>
          <t>Campaigns page · Cost, Conversions, Cost / conv.</t>
        </is>
      </c>
      <c r="C17" s="5" t="n"/>
      <c r="D17" s="5" t="n"/>
      <c r="E17" s="5" t="n"/>
    </row>
    <row r="18">
      <c r="A18" s="6" t="inlineStr">
        <is>
          <t>Spend</t>
        </is>
      </c>
      <c r="B18" s="7" t="n"/>
      <c r="C18" s="7" t="inlineStr">
        <is>
          <t>$1,560.00</t>
        </is>
      </c>
      <c r="D18" s="7" t="n"/>
      <c r="E18" s="7" t="inlineStr"/>
    </row>
    <row r="19">
      <c r="A19" s="6" t="inlineStr">
        <is>
          <t>Cost per charged lead</t>
        </is>
      </c>
      <c r="B19" s="7" t="n"/>
      <c r="C19" s="7" t="inlineStr">
        <is>
          <t>$65.00</t>
        </is>
      </c>
      <c r="D19" s="7" t="n"/>
      <c r="E19" s="7" t="inlineStr">
        <is>
          <t>Spend ÷ charged leads (Cost / conv.)</t>
        </is>
      </c>
    </row>
    <row r="20">
      <c r="A20" s="6" t="inlineStr">
        <is>
          <t>Cost per lead received</t>
        </is>
      </c>
      <c r="B20" s="7" t="n"/>
      <c r="C20" s="7" t="inlineStr">
        <is>
          <t>$50.32</t>
        </is>
      </c>
      <c r="D20" s="7" t="n"/>
      <c r="E20" s="7" t="inlineStr">
        <is>
          <t>Spend ÷ all leads received</t>
        </is>
      </c>
    </row>
    <row r="21">
      <c r="A21" s="3" t="inlineStr">
        <is>
          <t>04  What the leads asked for</t>
        </is>
      </c>
      <c r="B21" s="4" t="inlineStr">
        <is>
          <t>Leads page · Service Type column</t>
        </is>
      </c>
      <c r="C21" s="5" t="n"/>
      <c r="D21" s="5" t="n"/>
      <c r="E21" s="5" t="n"/>
    </row>
    <row r="22">
      <c r="A22" s="6" t="inlineStr">
        <is>
          <t>Water heater repair</t>
        </is>
      </c>
      <c r="B22" s="7" t="n"/>
      <c r="C22" s="7" t="inlineStr">
        <is>
          <t>9</t>
        </is>
      </c>
      <c r="D22" s="7" t="n"/>
      <c r="E22" s="7" t="inlineStr"/>
    </row>
    <row r="23">
      <c r="A23" s="6" t="inlineStr">
        <is>
          <t>Drain cleaning</t>
        </is>
      </c>
      <c r="B23" s="7" t="n"/>
      <c r="C23" s="7" t="inlineStr">
        <is>
          <t>8</t>
        </is>
      </c>
      <c r="D23" s="7" t="n"/>
      <c r="E23" s="7" t="inlineStr"/>
    </row>
    <row r="24">
      <c r="A24" s="6" t="inlineStr">
        <is>
          <t>General category search (shown with an X)</t>
        </is>
      </c>
      <c r="B24" s="7" t="n"/>
      <c r="C24" s="7" t="inlineStr">
        <is>
          <t>6</t>
        </is>
      </c>
      <c r="D24" s="7" t="n"/>
      <c r="E24" s="7" t="inlineStr"/>
    </row>
    <row r="25">
      <c r="A25" s="6" t="inlineStr">
        <is>
          <t>Leak detection</t>
        </is>
      </c>
      <c r="B25" s="7" t="n"/>
      <c r="C25" s="7" t="inlineStr">
        <is>
          <t>5</t>
        </is>
      </c>
      <c r="D25" s="7" t="n"/>
      <c r="E25" s="7" t="inlineStr"/>
    </row>
    <row r="26">
      <c r="A26" s="6" t="inlineStr">
        <is>
          <t>Toilet repair</t>
        </is>
      </c>
      <c r="B26" s="7" t="n"/>
      <c r="C26" s="7" t="inlineStr">
        <is>
          <t>3</t>
        </is>
      </c>
      <c r="D26" s="7" t="n"/>
      <c r="E26" s="7" t="inlineStr">
        <is>
          <t>Low-value job for this client: review the service type</t>
        </is>
      </c>
    </row>
    <row r="27">
      <c r="A27" s="3" t="inlineStr">
        <is>
          <t>05  Booked jobs</t>
        </is>
      </c>
      <c r="B27" s="4" t="inlineStr">
        <is>
          <t>Lead status (Booked / Completed) + the client’s job list</t>
        </is>
      </c>
      <c r="C27" s="5" t="n"/>
      <c r="D27" s="5" t="n"/>
      <c r="E27" s="5" t="n"/>
    </row>
    <row r="28">
      <c r="A28" s="6" t="inlineStr">
        <is>
          <t>Leads marked Booked or Completed</t>
        </is>
      </c>
      <c r="B28" s="7" t="n"/>
      <c r="C28" s="7" t="inlineStr">
        <is>
          <t>11</t>
        </is>
      </c>
      <c r="D28" s="7" t="n"/>
      <c r="E28" s="7" t="inlineStr"/>
    </row>
    <row r="29">
      <c r="A29" s="6" t="inlineStr">
        <is>
          <t>Booking rate</t>
        </is>
      </c>
      <c r="B29" s="7" t="n"/>
      <c r="C29" s="7" t="inlineStr">
        <is>
          <t>35%</t>
        </is>
      </c>
      <c r="D29" s="7" t="n"/>
      <c r="E29" s="7" t="inlineStr">
        <is>
          <t>Booked ÷ leads received</t>
        </is>
      </c>
    </row>
    <row r="30">
      <c r="A30" s="8" t="inlineStr">
        <is>
          <t>Cost per booked job</t>
        </is>
      </c>
      <c r="B30" s="7" t="n"/>
      <c r="C30" s="7" t="inlineStr">
        <is>
          <t>$141.82</t>
        </is>
      </c>
      <c r="D30" s="7" t="n"/>
      <c r="E30" s="7" t="inlineStr">
        <is>
          <t>Spend ÷ booked jobs</t>
        </is>
      </c>
    </row>
    <row r="31">
      <c r="A31" s="3" t="inlineStr">
        <is>
          <t>06  Calls answered</t>
        </is>
      </c>
      <c r="B31" s="4" t="inlineStr">
        <is>
          <t>The client’s phone system, answering service or call recordings</t>
        </is>
      </c>
      <c r="C31" s="5" t="n"/>
      <c r="D31" s="5" t="n"/>
      <c r="E31" s="5" t="n"/>
    </row>
    <row r="32">
      <c r="A32" s="6" t="inlineStr">
        <is>
          <t>Call leads</t>
        </is>
      </c>
      <c r="B32" s="7" t="n"/>
      <c r="C32" s="7" t="inlineStr">
        <is>
          <t>22</t>
        </is>
      </c>
      <c r="D32" s="7" t="n"/>
      <c r="E32" s="7" t="inlineStr"/>
    </row>
    <row r="33">
      <c r="A33" s="6" t="inlineStr">
        <is>
          <t>Reached a person</t>
        </is>
      </c>
      <c r="B33" s="7" t="n"/>
      <c r="C33" s="7" t="inlineStr">
        <is>
          <t>17</t>
        </is>
      </c>
      <c r="D33" s="7" t="n"/>
      <c r="E33" s="7" t="inlineStr"/>
    </row>
    <row r="34">
      <c r="A34" s="6" t="inlineStr">
        <is>
          <t>Missed (voicemail, no answer)</t>
        </is>
      </c>
      <c r="B34" s="7" t="n"/>
      <c r="C34" s="7" t="inlineStr">
        <is>
          <t>5</t>
        </is>
      </c>
      <c r="D34" s="7" t="n"/>
      <c r="E34" s="7" t="inlineStr">
        <is>
          <t>4 of 5 after 5pm</t>
        </is>
      </c>
    </row>
    <row r="35">
      <c r="A35" s="8" t="inlineStr">
        <is>
          <t>Answer rate</t>
        </is>
      </c>
      <c r="B35" s="7" t="n"/>
      <c r="C35" s="7" t="inlineStr">
        <is>
          <t>77%</t>
        </is>
      </c>
      <c r="D35" s="7" t="n"/>
      <c r="E35" s="7" t="inlineStr">
        <is>
          <t>The number the client controls</t>
        </is>
      </c>
    </row>
    <row r="36">
      <c r="A36" s="3" t="inlineStr">
        <is>
          <t>07  Rating and reviews</t>
        </is>
      </c>
      <c r="B36" s="4" t="inlineStr">
        <is>
          <t>Google Business Profile (start vs. end of month)</t>
        </is>
      </c>
      <c r="C36" s="5" t="n"/>
      <c r="D36" s="5" t="n"/>
      <c r="E36" s="5" t="n"/>
    </row>
    <row r="37">
      <c r="A37" s="6" t="inlineStr">
        <is>
          <t>Star rating</t>
        </is>
      </c>
      <c r="B37" s="7" t="n"/>
      <c r="C37" s="7" t="inlineStr">
        <is>
          <t>4.8 → 4.8</t>
        </is>
      </c>
      <c r="D37" s="7" t="n"/>
      <c r="E37" s="7" t="inlineStr"/>
    </row>
    <row r="38">
      <c r="A38" s="6" t="inlineStr">
        <is>
          <t>Review count</t>
        </is>
      </c>
      <c r="B38" s="7" t="n"/>
      <c r="C38" s="7" t="inlineStr">
        <is>
          <t>127 → 133</t>
        </is>
      </c>
      <c r="D38" s="7" t="n"/>
      <c r="E38" s="7" t="inlineStr">
        <is>
          <t>+6 this month</t>
        </is>
      </c>
    </row>
    <row r="39">
      <c r="A39" s="3" t="inlineStr">
        <is>
          <t>08  Budget pacing</t>
        </is>
      </c>
      <c r="B39" s="4" t="inlineStr">
        <is>
          <t>Campaign budget (daily average) vs. Cost for the month</t>
        </is>
      </c>
      <c r="C39" s="5" t="n"/>
      <c r="D39" s="5" t="n"/>
      <c r="E39" s="5" t="n"/>
    </row>
    <row r="40">
      <c r="A40" s="6" t="inlineStr">
        <is>
          <t>Average daily budget</t>
        </is>
      </c>
      <c r="B40" s="7" t="n"/>
      <c r="C40" s="7" t="inlineStr">
        <is>
          <t>$60.00</t>
        </is>
      </c>
      <c r="D40" s="7" t="n"/>
      <c r="E40" s="7" t="inlineStr"/>
    </row>
    <row r="41">
      <c r="A41" s="6" t="inlineStr">
        <is>
          <t>Monthly cap (daily × 30.4)</t>
        </is>
      </c>
      <c r="B41" s="7" t="n"/>
      <c r="C41" s="7" t="inlineStr">
        <is>
          <t>$1,824.00</t>
        </is>
      </c>
      <c r="D41" s="7" t="n"/>
      <c r="E41" s="7" t="inlineStr"/>
    </row>
    <row r="42">
      <c r="A42" s="6" t="inlineStr">
        <is>
          <t>Spent / % of cap</t>
        </is>
      </c>
      <c r="B42" s="7" t="n"/>
      <c r="C42" s="7" t="inlineStr">
        <is>
          <t>$1,560.00 / 86%</t>
        </is>
      </c>
      <c r="D42" s="7" t="n"/>
      <c r="E42" s="7" t="inlineStr">
        <is>
          <t>Didn’t hit the monthly max, so ads ran all month</t>
        </is>
      </c>
    </row>
    <row r="44">
      <c r="A44" s="11" t="inlineStr">
        <is>
          <t>09  This month in one sentence</t>
        </is>
      </c>
      <c r="B44" t="inlineStr">
        <is>
          <t>“5 call leads went to voicemail, mostly after 5pm, so from November 1 calls overflow to the answering service after 15 seconds.”</t>
        </is>
      </c>
    </row>
    <row r="46">
      <c r="A46" s="11" t="inlineStr">
        <is>
          <t>10  Next month's actions</t>
        </is>
      </c>
      <c r="B46" s="12" t="inlineStr">
        <is>
          <t>Action</t>
        </is>
      </c>
      <c r="C46" s="12" t="inlineStr">
        <is>
          <t>Owner</t>
        </is>
      </c>
      <c r="D46" s="12" t="inlineStr">
        <is>
          <t>By</t>
        </is>
      </c>
    </row>
    <row r="47">
      <c r="B47" s="13" t="inlineStr">
        <is>
          <t>Overflow after-hours calls to the answering service at 15 seconds</t>
        </is>
      </c>
      <c r="C47" s="13" t="inlineStr">
        <is>
          <t>Agency + client</t>
        </is>
      </c>
      <c r="D47" s="13" t="inlineStr">
        <is>
          <t>Nov 1</t>
        </is>
      </c>
    </row>
    <row r="48">
      <c r="B48" s="13" t="inlineStr">
        <is>
          <t>Review the Toilet repair service type with the owner</t>
        </is>
      </c>
      <c r="C48" s="13" t="inlineStr">
        <is>
          <t>Agency</t>
        </is>
      </c>
      <c r="D48" s="13" t="inlineStr">
        <is>
          <t>Nov 7</t>
        </is>
      </c>
    </row>
    <row r="49">
      <c r="B49" s="13" t="inlineStr">
        <is>
          <t>Mark every lead Booked or Completed weekly</t>
        </is>
      </c>
      <c r="C49" s="13" t="inlineStr">
        <is>
          <t>Client office</t>
        </is>
      </c>
      <c r="D49" s="13" t="inlineStr">
        <is>
          <t>Weekly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40" customWidth="1" min="18" max="18"/>
  </cols>
  <sheetData>
    <row r="1">
      <c r="A1" s="15" t="inlineStr">
        <is>
          <t>Client</t>
        </is>
      </c>
      <c r="B1" s="15" t="inlineStr">
        <is>
          <t>Month</t>
        </is>
      </c>
      <c r="C1" s="15" t="inlineStr">
        <is>
          <t>Status (prov./final)</t>
        </is>
      </c>
      <c r="D1" s="15" t="inlineStr">
        <is>
          <t>Leads received</t>
        </is>
      </c>
      <c r="E1" s="15" t="inlineStr">
        <is>
          <t>Charged</t>
        </is>
      </c>
      <c r="F1" s="15" t="inlineStr">
        <is>
          <t>Credited</t>
        </is>
      </c>
      <c r="G1" s="15" t="inlineStr">
        <is>
          <t>In review</t>
        </is>
      </c>
      <c r="H1" s="15" t="inlineStr">
        <is>
          <t>Spend</t>
        </is>
      </c>
      <c r="I1" s="15" t="inlineStr">
        <is>
          <t>Cost / charged lead</t>
        </is>
      </c>
      <c r="J1" s="15" t="inlineStr">
        <is>
          <t>Booked jobs</t>
        </is>
      </c>
      <c r="K1" s="15" t="inlineStr">
        <is>
          <t>Cost / booked job</t>
        </is>
      </c>
      <c r="L1" s="15" t="inlineStr">
        <is>
          <t>Call leads</t>
        </is>
      </c>
      <c r="M1" s="15" t="inlineStr">
        <is>
          <t>Reached a person</t>
        </is>
      </c>
      <c r="N1" s="15" t="inlineStr">
        <is>
          <t>Answer rate</t>
        </is>
      </c>
      <c r="O1" s="15" t="inlineStr">
        <is>
          <t>Rating</t>
        </is>
      </c>
      <c r="P1" s="15" t="inlineStr">
        <is>
          <t>Reviews (+new)</t>
        </is>
      </c>
      <c r="Q1" s="15" t="inlineStr">
        <is>
          <t>% of monthly cap</t>
        </is>
      </c>
      <c r="R1" s="15" t="inlineStr">
        <is>
          <t>Next month’s action</t>
        </is>
      </c>
    </row>
    <row r="2">
      <c r="A2" s="14" t="inlineStr">
        <is>
          <t>SAMPLE: Sample Plumbing Co. (fictional)</t>
        </is>
      </c>
      <c r="B2" s="14" t="inlineStr">
        <is>
          <t>Oct 2026</t>
        </is>
      </c>
      <c r="C2" s="14" t="inlineStr">
        <is>
          <t>Provisional</t>
        </is>
      </c>
      <c r="D2" s="14" t="n">
        <v>31</v>
      </c>
      <c r="E2" s="14" t="n">
        <v>24</v>
      </c>
      <c r="F2" s="14" t="n">
        <v>4</v>
      </c>
      <c r="G2" s="14" t="n">
        <v>2</v>
      </c>
      <c r="H2" s="16" t="n">
        <v>1560</v>
      </c>
      <c r="I2" s="16">
        <f>IFERROR(H2/E2,"")</f>
        <v/>
      </c>
      <c r="J2" s="14" t="n">
        <v>11</v>
      </c>
      <c r="K2" s="16">
        <f>IFERROR(H2/J2,"")</f>
        <v/>
      </c>
      <c r="L2" s="14" t="n">
        <v>22</v>
      </c>
      <c r="M2" s="14" t="n">
        <v>17</v>
      </c>
      <c r="N2" s="17">
        <f>IFERROR(M2/L2,"")</f>
        <v/>
      </c>
      <c r="O2" s="14" t="n">
        <v>4.8</v>
      </c>
      <c r="P2" s="14" t="inlineStr">
        <is>
          <t>133 (+6)</t>
        </is>
      </c>
      <c r="Q2" s="14" t="inlineStr">
        <is>
          <t>86%</t>
        </is>
      </c>
      <c r="R2" s="14" t="inlineStr">
        <is>
          <t>Overflow after-hours calls at 15 sec</t>
        </is>
      </c>
    </row>
    <row r="3">
      <c r="H3" s="18" t="n"/>
      <c r="I3" s="18">
        <f>IFERROR(H3/E3,"")</f>
        <v/>
      </c>
      <c r="K3" s="18">
        <f>IFERROR(H3/J3,"")</f>
        <v/>
      </c>
      <c r="N3" s="19">
        <f>IFERROR(M3/L3,"")</f>
        <v/>
      </c>
    </row>
    <row r="4">
      <c r="H4" s="18" t="n"/>
      <c r="I4" s="18">
        <f>IFERROR(H4/E4,"")</f>
        <v/>
      </c>
      <c r="K4" s="18">
        <f>IFERROR(H4/J4,"")</f>
        <v/>
      </c>
      <c r="N4" s="19">
        <f>IFERROR(M4/L4,"")</f>
        <v/>
      </c>
    </row>
    <row r="5">
      <c r="H5" s="18" t="n"/>
      <c r="I5" s="18">
        <f>IFERROR(H5/E5,"")</f>
        <v/>
      </c>
      <c r="K5" s="18">
        <f>IFERROR(H5/J5,"")</f>
        <v/>
      </c>
      <c r="N5" s="19">
        <f>IFERROR(M5/L5,"")</f>
        <v/>
      </c>
    </row>
    <row r="6">
      <c r="H6" s="18" t="n"/>
      <c r="I6" s="18">
        <f>IFERROR(H6/E6,"")</f>
        <v/>
      </c>
      <c r="K6" s="18">
        <f>IFERROR(H6/J6,"")</f>
        <v/>
      </c>
      <c r="N6" s="19">
        <f>IFERROR(M6/L6,"")</f>
        <v/>
      </c>
    </row>
    <row r="7">
      <c r="H7" s="18" t="n"/>
      <c r="I7" s="18">
        <f>IFERROR(H7/E7,"")</f>
        <v/>
      </c>
      <c r="K7" s="18">
        <f>IFERROR(H7/J7,"")</f>
        <v/>
      </c>
      <c r="N7" s="19">
        <f>IFERROR(M7/L7,"")</f>
        <v/>
      </c>
    </row>
    <row r="8">
      <c r="H8" s="18" t="n"/>
      <c r="I8" s="18">
        <f>IFERROR(H8/E8,"")</f>
        <v/>
      </c>
      <c r="K8" s="18">
        <f>IFERROR(H8/J8,"")</f>
        <v/>
      </c>
      <c r="N8" s="19">
        <f>IFERROR(M8/L8,"")</f>
        <v/>
      </c>
    </row>
    <row r="9">
      <c r="H9" s="18" t="n"/>
      <c r="I9" s="18">
        <f>IFERROR(H9/E9,"")</f>
        <v/>
      </c>
      <c r="K9" s="18">
        <f>IFERROR(H9/J9,"")</f>
        <v/>
      </c>
      <c r="N9" s="19">
        <f>IFERROR(M9/L9,"")</f>
        <v/>
      </c>
    </row>
    <row r="10">
      <c r="H10" s="18" t="n"/>
      <c r="I10" s="18">
        <f>IFERROR(H10/E10,"")</f>
        <v/>
      </c>
      <c r="K10" s="18">
        <f>IFERROR(H10/J10,"")</f>
        <v/>
      </c>
      <c r="N10" s="19">
        <f>IFERROR(M10/L10,"")</f>
        <v/>
      </c>
    </row>
    <row r="11">
      <c r="H11" s="18" t="n"/>
      <c r="I11" s="18">
        <f>IFERROR(H11/E11,"")</f>
        <v/>
      </c>
      <c r="K11" s="18">
        <f>IFERROR(H11/J11,"")</f>
        <v/>
      </c>
      <c r="N11" s="19">
        <f>IFERROR(M11/L11,"")</f>
        <v/>
      </c>
    </row>
    <row r="12">
      <c r="H12" s="18" t="n"/>
      <c r="I12" s="18">
        <f>IFERROR(H12/E12,"")</f>
        <v/>
      </c>
      <c r="K12" s="18">
        <f>IFERROR(H12/J12,"")</f>
        <v/>
      </c>
      <c r="N12" s="19">
        <f>IFERROR(M12/L12,"")</f>
        <v/>
      </c>
    </row>
    <row r="13">
      <c r="H13" s="18" t="n"/>
      <c r="I13" s="18">
        <f>IFERROR(H13/E13,"")</f>
        <v/>
      </c>
      <c r="K13" s="18">
        <f>IFERROR(H13/J13,"")</f>
        <v/>
      </c>
      <c r="N13" s="19">
        <f>IFERROR(M13/L13,"")</f>
        <v/>
      </c>
    </row>
    <row r="14">
      <c r="H14" s="18" t="n"/>
      <c r="I14" s="18">
        <f>IFERROR(H14/E14,"")</f>
        <v/>
      </c>
      <c r="K14" s="18">
        <f>IFERROR(H14/J14,"")</f>
        <v/>
      </c>
      <c r="N14" s="19">
        <f>IFERROR(M14/L14,"")</f>
        <v/>
      </c>
    </row>
    <row r="15">
      <c r="H15" s="18" t="n"/>
      <c r="I15" s="18">
        <f>IFERROR(H15/E15,"")</f>
        <v/>
      </c>
      <c r="K15" s="18">
        <f>IFERROR(H15/J15,"")</f>
        <v/>
      </c>
      <c r="N15" s="19">
        <f>IFERROR(M15/L15,"")</f>
        <v/>
      </c>
    </row>
    <row r="16">
      <c r="H16" s="18" t="n"/>
      <c r="I16" s="18">
        <f>IFERROR(H16/E16,"")</f>
        <v/>
      </c>
      <c r="K16" s="18">
        <f>IFERROR(H16/J16,"")</f>
        <v/>
      </c>
      <c r="N16" s="19">
        <f>IFERROR(M16/L16,"")</f>
        <v/>
      </c>
    </row>
    <row r="17">
      <c r="H17" s="18" t="n"/>
      <c r="I17" s="18">
        <f>IFERROR(H17/E17,"")</f>
        <v/>
      </c>
      <c r="K17" s="18">
        <f>IFERROR(H17/J17,"")</f>
        <v/>
      </c>
      <c r="N17" s="19">
        <f>IFERROR(M17/L17,"")</f>
        <v/>
      </c>
    </row>
    <row r="18">
      <c r="H18" s="18" t="n"/>
      <c r="I18" s="18">
        <f>IFERROR(H18/E18,"")</f>
        <v/>
      </c>
      <c r="K18" s="18">
        <f>IFERROR(H18/J18,"")</f>
        <v/>
      </c>
      <c r="N18" s="19">
        <f>IFERROR(M18/L18,"")</f>
        <v/>
      </c>
    </row>
    <row r="19">
      <c r="H19" s="18" t="n"/>
      <c r="I19" s="18">
        <f>IFERROR(H19/E19,"")</f>
        <v/>
      </c>
      <c r="K19" s="18">
        <f>IFERROR(H19/J19,"")</f>
        <v/>
      </c>
      <c r="N19" s="19">
        <f>IFERROR(M19/L19,"")</f>
        <v/>
      </c>
    </row>
    <row r="20">
      <c r="H20" s="18" t="n"/>
      <c r="I20" s="18">
        <f>IFERROR(H20/E20,"")</f>
        <v/>
      </c>
      <c r="K20" s="18">
        <f>IFERROR(H20/J20,"")</f>
        <v/>
      </c>
      <c r="N20" s="19">
        <f>IFERROR(M20/L20,"")</f>
        <v/>
      </c>
    </row>
    <row r="21">
      <c r="H21" s="18" t="n"/>
      <c r="I21" s="18">
        <f>IFERROR(H21/E21,"")</f>
        <v/>
      </c>
      <c r="K21" s="18">
        <f>IFERROR(H21/J21,"")</f>
        <v/>
      </c>
      <c r="N21" s="19">
        <f>IFERROR(M21/L21,"")</f>
        <v/>
      </c>
    </row>
    <row r="22">
      <c r="H22" s="18" t="n"/>
      <c r="I22" s="18">
        <f>IFERROR(H22/E22,"")</f>
        <v/>
      </c>
      <c r="K22" s="18">
        <f>IFERROR(H22/J22,"")</f>
        <v/>
      </c>
      <c r="N22" s="19">
        <f>IFERROR(M22/L22,"")</f>
        <v/>
      </c>
    </row>
    <row r="23">
      <c r="H23" s="18" t="n"/>
      <c r="I23" s="18">
        <f>IFERROR(H23/E23,"")</f>
        <v/>
      </c>
      <c r="K23" s="18">
        <f>IFERROR(H23/J23,"")</f>
        <v/>
      </c>
      <c r="N23" s="19">
        <f>IFERROR(M23/L23,"")</f>
        <v/>
      </c>
    </row>
    <row r="24">
      <c r="H24" s="18" t="n"/>
      <c r="I24" s="18">
        <f>IFERROR(H24/E24,"")</f>
        <v/>
      </c>
      <c r="K24" s="18">
        <f>IFERROR(H24/J24,"")</f>
        <v/>
      </c>
      <c r="N24" s="19">
        <f>IFERROR(M24/L24,"")</f>
        <v/>
      </c>
    </row>
    <row r="25">
      <c r="H25" s="18" t="n"/>
      <c r="I25" s="18">
        <f>IFERROR(H25/E25,"")</f>
        <v/>
      </c>
      <c r="K25" s="18">
        <f>IFERROR(H25/J25,"")</f>
        <v/>
      </c>
      <c r="N25" s="19">
        <f>IFERROR(M25/L25,"")</f>
        <v/>
      </c>
    </row>
    <row r="26">
      <c r="H26" s="18" t="n"/>
      <c r="I26" s="18">
        <f>IFERROR(H26/E26,"")</f>
        <v/>
      </c>
      <c r="K26" s="18">
        <f>IFERROR(H26/J26,"")</f>
        <v/>
      </c>
      <c r="N26" s="19">
        <f>IFERROR(M26/L26,"")</f>
        <v/>
      </c>
    </row>
    <row r="27">
      <c r="H27" s="18" t="n"/>
      <c r="I27" s="18">
        <f>IFERROR(H27/E27,"")</f>
        <v/>
      </c>
      <c r="K27" s="18">
        <f>IFERROR(H27/J27,"")</f>
        <v/>
      </c>
      <c r="N27" s="19">
        <f>IFERROR(M27/L27,"")</f>
        <v/>
      </c>
    </row>
    <row r="28">
      <c r="H28" s="18" t="n"/>
      <c r="I28" s="18">
        <f>IFERROR(H28/E28,"")</f>
        <v/>
      </c>
      <c r="K28" s="18">
        <f>IFERROR(H28/J28,"")</f>
        <v/>
      </c>
      <c r="N28" s="19">
        <f>IFERROR(M28/L28,"")</f>
        <v/>
      </c>
    </row>
    <row r="29">
      <c r="H29" s="18" t="n"/>
      <c r="I29" s="18">
        <f>IFERROR(H29/E29,"")</f>
        <v/>
      </c>
      <c r="K29" s="18">
        <f>IFERROR(H29/J29,"")</f>
        <v/>
      </c>
      <c r="N29" s="19">
        <f>IFERROR(M29/L29,"")</f>
        <v/>
      </c>
    </row>
    <row r="30">
      <c r="H30" s="18" t="n"/>
      <c r="I30" s="18">
        <f>IFERROR(H30/E30,"")</f>
        <v/>
      </c>
      <c r="K30" s="18">
        <f>IFERROR(H30/J30,"")</f>
        <v/>
      </c>
      <c r="N30" s="19">
        <f>IFERROR(M30/L30,"")</f>
        <v/>
      </c>
    </row>
    <row r="31">
      <c r="H31" s="18" t="n"/>
      <c r="I31" s="18">
        <f>IFERROR(H31/E31,"")</f>
        <v/>
      </c>
      <c r="K31" s="18">
        <f>IFERROR(H31/J31,"")</f>
        <v/>
      </c>
      <c r="N31" s="19">
        <f>IFERROR(M31/L31,"")</f>
        <v/>
      </c>
    </row>
    <row r="34">
      <c r="A34" s="20" t="inlineStr">
        <is>
          <t>Running 20 clients? Keep one master sheet, one row per client, with the same numbers. Then read down the Answer rate column: clients whose calls aren’t reaching a person are the most likely to blame the ads and cancel, and the easiest conversation about fixing lead response.</t>
        </is>
      </c>
    </row>
    <row r="35"/>
    <row r="36"/>
    <row r="37"/>
  </sheetData>
  <mergeCells count="1">
    <mergeCell ref="A34:J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8" customWidth="1" min="1" max="1"/>
    <col width="110" customWidth="1" min="2" max="2"/>
  </cols>
  <sheetData>
    <row r="1">
      <c r="A1" s="21" t="inlineStr">
        <is>
          <t>What changed under Performance Max</t>
        </is>
      </c>
    </row>
    <row r="2">
      <c r="A2" s="22" t="inlineStr">
        <is>
          <t>“Conversions” means charged leads</t>
        </is>
      </c>
      <c r="B2" s="20" t="inlineStr">
        <is>
          <t>Google’s migration page says the Conversions column displays the total number of leads you’re charged for. Report leads received from the Leads page next to it, or the client sees fewer leads than they got alerts for.</t>
        </is>
      </c>
    </row>
    <row r="3">
      <c r="A3" s="22" t="inlineStr">
        <is>
          <t>Last month isn’t final for 30 days</t>
        </is>
      </c>
      <c r="B3" s="20" t="inlineStr">
        <is>
          <t>Google continuously assesses lead quality over a 30-day period and credits poor, duplicate or invalid leads automatically (not in EEA countries). Mark the report provisional and restate last month at the top of the next one.</t>
        </is>
      </c>
    </row>
    <row r="4">
      <c r="A4" s="22" t="inlineStr">
        <is>
          <t>Count leads, not calls</t>
        </is>
      </c>
      <c r="B4" s="20" t="inlineStr">
        <is>
          <t>Once a lead is charged, follow-up calls or messages from the same number or email within 15 days aren’t charged again.</t>
        </is>
      </c>
    </row>
    <row r="5">
      <c r="A5" s="22" t="inlineStr">
        <is>
          <t>No history inside Google Ads</t>
        </is>
      </c>
      <c r="B5" s="20" t="inlineStr">
        <is>
          <t>Google says previous LSA performance reports won’t carry over. Compare against your own archive, or start the baseline now.</t>
        </is>
      </c>
    </row>
    <row r="6">
      <c r="A6" s="22" t="inlineStr">
        <is>
          <t>Expect a ramp after migration</t>
        </is>
      </c>
      <c r="B6" s="20" t="inlineStr">
        <is>
          <t>Google says to allow up to two weeks for migration to complete and performance to ramp back to stable levels. Put the migration date on the report.</t>
        </is>
      </c>
    </row>
    <row r="7">
      <c r="A7" s="22" t="inlineStr">
        <is>
          <t>Leave clicks out of the headline</t>
        </is>
      </c>
      <c r="B7" s="20" t="inlineStr">
        <is>
          <t>You pay for valid leads, not ad clicks. Clicks and click-through rate don’t cost the client anything, so don’t judge the account on them.</t>
        </is>
      </c>
    </row>
    <row r="9">
      <c r="A9" s="21" t="inlineStr">
        <is>
          <t>Where each number lives</t>
        </is>
      </c>
    </row>
    <row r="10">
      <c r="B10" s="20" t="inlineStr">
        <is>
          <t>Campaigns page: set the date range to the month. Add Conversions, Cost and Cost / conv. Write down those three (section 03, and charged leads in 02).</t>
        </is>
      </c>
    </row>
    <row r="11">
      <c r="B11" s="20" t="inlineStr">
        <is>
          <t>Goals › Conversions › Leads: same date range. Download the leads (Google says you can download them to import into your own CRM). In a sheet, pivot on Charge Status, Lead Type and Service Type. That fills sections 01, 02 and 04.</t>
        </is>
      </c>
    </row>
    <row r="12">
      <c r="B12" s="20" t="inlineStr">
        <is>
          <t>Lead status: count leads marked Booked or Completed for section 05. Google says updating these statuses helps its systems optimize the campaign, so get the client’s office doing it weekly.</t>
        </is>
      </c>
    </row>
    <row r="13">
      <c r="B13" s="20" t="inlineStr">
        <is>
          <t>Calls answered (06): pull it from wherever calls actually land: the client’s phone system, answering service or the call recordings. [VERIFY in a migrated account: whether the Leads page labels missed or unanswered calls. If it does, use it as a cross-check.]</t>
        </is>
      </c>
    </row>
    <row r="14">
      <c r="B14" s="20" t="inlineStr">
        <is>
          <t>Recordings: save 2 or 3 calls worth playing for the client (a great call, a lead that went to voicemail). Google keeps call recordings for up to 30 days.</t>
        </is>
      </c>
    </row>
    <row r="15">
      <c r="B15" s="20" t="inlineStr">
        <is>
          <t>Reviews (07): note the Business Profile rating and review count on the first and last day of the month.</t>
        </is>
      </c>
    </row>
    <row r="16">
      <c r="B16" s="20" t="inlineStr">
        <is>
          <t>Budget (08): daily average budget × 30.4 = monthly cap. Compare it with Cost for the month. Note any day the campaign hit the monthly maximum.</t>
        </is>
      </c>
    </row>
    <row r="17">
      <c r="B17" s="20" t="inlineStr">
        <is>
          <t>Send on the same day every month. If you send on the 1st, mark it provisional and show the in-review count.</t>
        </is>
      </c>
    </row>
    <row r="19">
      <c r="A19" s="21" t="inlineStr">
        <is>
          <t>Sources (checked Nov 1, 2026)</t>
        </is>
      </c>
    </row>
    <row r="20">
      <c r="A20" t="inlineStr">
        <is>
          <t>LSA transition to Performance Max campaigns with pay-per-lead goals</t>
        </is>
      </c>
      <c r="B20" t="inlineStr">
        <is>
          <t>https://support.google.com/google-ads/answer/17213585</t>
        </is>
      </c>
    </row>
    <row r="21">
      <c r="A21" t="inlineStr">
        <is>
          <t>How leads work in Performance Max campaigns with pay-per-lead goals</t>
        </is>
      </c>
      <c r="B21" t="inlineStr">
        <is>
          <t>https://support.google.com/google-ads/answer/18550592</t>
        </is>
      </c>
    </row>
    <row r="22">
      <c r="A22" t="inlineStr">
        <is>
          <t>About goals and leads for pay-per-lead goals</t>
        </is>
      </c>
      <c r="B22" t="inlineStr">
        <is>
          <t>https://support.google.com/google-ads/answer/17325352</t>
        </is>
      </c>
    </row>
    <row r="24">
      <c r="A24" s="22" t="inlineStr">
        <is>
          <t>Want a second set of eyes on one client’s report?</t>
        </is>
      </c>
      <c r="B24" s="20" t="inlineStr">
        <is>
          <t>Book a 30-minute call with Ryan. Bring last month’s LSA report for one client and we’ll rebuild it with you on the call using this template: charged vs. received leads, credits, cost per booked job and calls answered. https://ryan.diyai.ai/30-min-discovery-call</t>
        </is>
      </c>
    </row>
    <row r="26">
      <c r="A26" t="inlineStr">
        <is>
          <t>© 2026 LSA Command. Google and Google Local Services Ads are trademarks of Google LLC. LSA Command is not affiliated with Google.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2026-11-02T00:27:20Z</dcterms:created>
  <dcterms:modified xmlns:dcterms="http://purl.org/dc/terms/" xmlns:xsi="http://www.w3.org/2001/XMLSchema-instance" xsi:type="dcterms:W3CDTF">2026-11-02T00:27:20Z</dcterms:modified>
</cp:coreProperties>
</file>